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3995"/>
  </bookViews>
  <sheets>
    <sheet name="Інформація про драцс" sheetId="1" r:id="rId1"/>
    <sheet name="Аркуш32" sheetId="12" state="hidden" r:id="rId2"/>
    <sheet name="Аркуш33" sheetId="13" state="hidden" r:id="rId3"/>
  </sheets>
  <calcPr calcId="145621"/>
</workbook>
</file>

<file path=xl/calcChain.xml><?xml version="1.0" encoding="utf-8"?>
<calcChain xmlns="http://schemas.openxmlformats.org/spreadsheetml/2006/main">
  <c r="D34" i="1" l="1"/>
  <c r="K34" i="1" l="1"/>
  <c r="J34" i="1"/>
  <c r="I34" i="1"/>
  <c r="H34" i="1"/>
  <c r="G34" i="1"/>
  <c r="F34" i="1"/>
  <c r="E34" i="1"/>
</calcChain>
</file>

<file path=xl/sharedStrings.xml><?xml version="1.0" encoding="utf-8"?>
<sst xmlns="http://schemas.openxmlformats.org/spreadsheetml/2006/main" count="49" uniqueCount="43">
  <si>
    <t>№</t>
  </si>
  <si>
    <t>НАЙМЕНУВАННЯ РЕГІОНУ</t>
  </si>
  <si>
    <t xml:space="preserve">    народження</t>
  </si>
  <si>
    <t xml:space="preserve"> шлюб </t>
  </si>
  <si>
    <t>розірвання шлюбу</t>
  </si>
  <si>
    <t>зміна імені</t>
  </si>
  <si>
    <t>анульовано</t>
  </si>
  <si>
    <t>всього</t>
  </si>
  <si>
    <t>у т/ч по рішенню суду</t>
  </si>
  <si>
    <t>Вінницька</t>
  </si>
  <si>
    <t xml:space="preserve">Волинська </t>
  </si>
  <si>
    <t>Дніпропетровська</t>
  </si>
  <si>
    <t>Житомирська</t>
  </si>
  <si>
    <t>Закарпатська</t>
  </si>
  <si>
    <t>Івано-Франківська</t>
  </si>
  <si>
    <t>Київська</t>
  </si>
  <si>
    <t>Кіровоградська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</si>
  <si>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</si>
  <si>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</si>
  <si>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</si>
  <si>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</si>
  <si>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</si>
  <si>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</si>
  <si>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</si>
  <si>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</si>
  <si>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Хмельницька</t>
  </si>
  <si>
    <t>Черкаська</t>
  </si>
  <si>
    <t>Чернівецька</t>
  </si>
  <si>
    <t>Чернігівська</t>
  </si>
  <si>
    <t>м.Київ</t>
  </si>
  <si>
    <t>Всього</t>
  </si>
  <si>
    <t xml:space="preserve">     смерть</t>
  </si>
  <si>
    <t xml:space="preserve">Звіт про державну реєстрацію актів цивільного стану за 2025 рік  </t>
  </si>
  <si>
    <t>Всього за 2025 рік зареєстровано 856 409 актових записів цивільного стану</t>
  </si>
  <si>
    <t>*- на тимчасово окупованих територіях України державна реєстрація актів цивільного стану за законодавством України не проводилася.</t>
  </si>
  <si>
    <t>**- інформація про державну реєстрацію актів цивільного стану  надана відділами державної реєстрації актів цивільного стану, розташованими на підконтрольній українській владі території</t>
  </si>
  <si>
    <t>АРК*</t>
  </si>
  <si>
    <t>м. Севастополь*</t>
  </si>
  <si>
    <t>Донецька**</t>
  </si>
  <si>
    <t>Запорізька**</t>
  </si>
  <si>
    <t>Луганська**</t>
  </si>
  <si>
    <t>Херсонська**</t>
  </si>
  <si>
    <t xml:space="preserve">  поновлено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</si>
</sst>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_ ;\-#,##0\ "/>
    <numFmt numFmtId="165" formatCode="[$-422]General"/>
    <numFmt numFmtId="166" formatCode="[$-422]#,##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</font>
    <font>
      <b/>
      <sz val="11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b/>
      <sz val="8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 applyFont="1" applyAlignment="1"/>
    <xf numFmtId="0" fontId="5" fillId="0" borderId="1" xfId="0" applyFont="1" applyBorder="1" applyAlignment="1"/>
    <xf numFmtId="0" fontId="3" fillId="0" borderId="5" xfId="0" applyFont="1" applyBorder="1" applyAlignment="1">
      <alignment horizontal="right"/>
    </xf>
    <xf numFmtId="164" fontId="3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3" fontId="3" fillId="0" borderId="4" xfId="0" applyNumberFormat="1" applyFont="1" applyBorder="1" applyAlignment="1">
      <alignment horizontal="right" wrapText="1"/>
    </xf>
    <xf numFmtId="165" fontId="3" fillId="0" borderId="4" xfId="0" applyNumberFormat="1" applyFont="1" applyBorder="1" applyAlignment="1">
      <alignment horizontal="right" wrapText="1"/>
    </xf>
    <xf numFmtId="166" fontId="3" fillId="0" borderId="4" xfId="0" applyNumberFormat="1" applyFont="1" applyBorder="1" applyAlignment="1">
      <alignment horizontal="right" wrapText="1"/>
    </xf>
    <xf numFmtId="164" fontId="3" fillId="0" borderId="3" xfId="0" applyNumberFormat="1" applyFont="1" applyBorder="1" applyAlignment="1">
      <alignment horizontal="right" wrapText="1"/>
    </xf>
    <xf numFmtId="3" fontId="3" fillId="0" borderId="3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/>
    </xf>
    <xf numFmtId="164" fontId="3" fillId="0" borderId="9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3" fontId="3" fillId="0" borderId="9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wrapText="1"/>
    </xf>
    <xf numFmtId="0" fontId="3" fillId="0" borderId="10" xfId="0" applyFont="1" applyBorder="1" applyAlignment="1">
      <alignment horizontal="right" wrapText="1"/>
    </xf>
    <xf numFmtId="3" fontId="3" fillId="0" borderId="10" xfId="0" applyNumberFormat="1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3" fillId="0" borderId="5" xfId="0" applyFont="1" applyBorder="1" applyAlignment="1"/>
    <xf numFmtId="164" fontId="8" fillId="0" borderId="4" xfId="0" applyNumberFormat="1" applyFont="1" applyBorder="1" applyAlignment="1">
      <alignment horizontal="right"/>
    </xf>
    <xf numFmtId="3" fontId="8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6" fillId="0" borderId="13" xfId="0" applyFont="1" applyBorder="1" applyAlignment="1"/>
    <xf numFmtId="164" fontId="8" fillId="0" borderId="3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/>
    <xf numFmtId="0" fontId="5" fillId="0" borderId="14" xfId="0" applyFont="1" applyBorder="1" applyAlignment="1">
      <alignment vertical="top" wrapText="1"/>
    </xf>
    <xf numFmtId="0" fontId="9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top" wrapText="1"/>
    </xf>
    <xf numFmtId="0" fontId="6" fillId="0" borderId="1" xfId="0" applyFont="1" applyBorder="1" applyAlignment="1"/>
    <xf numFmtId="0" fontId="9" fillId="0" borderId="14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" fillId="0" borderId="17" xfId="1" applyBorder="1" applyAlignment="1">
      <alignment horizontal="left"/>
    </xf>
    <xf numFmtId="0" fontId="1" fillId="0" borderId="0" xfId="1" applyAlignment="1">
      <alignment horizontal="left" wrapText="1"/>
    </xf>
    <xf numFmtId="0" fontId="10" fillId="0" borderId="18" xfId="0" applyFont="1" applyBorder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7" fillId="0" borderId="3" xfId="0" applyFont="1" applyBorder="1" applyAlignment="1">
      <alignment vertical="top" wrapText="1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 applyAlignment="1">
      <alignment wrapText="1"/>
    </xf>
    <xf numFmtId="0" fontId="4" fillId="0" borderId="2" xfId="0" applyFont="1" applyBorder="1"/>
    <xf numFmtId="0" fontId="4" fillId="0" borderId="5" xfId="0" applyFont="1" applyBorder="1"/>
    <xf numFmtId="0" fontId="3" fillId="0" borderId="0" xfId="0" applyFont="1" applyAlignment="1">
      <alignment wrapText="1"/>
    </xf>
    <xf numFmtId="0" fontId="4" fillId="0" borderId="0" xfId="0" applyFont="1" applyBorder="1"/>
    <xf numFmtId="0" fontId="0" fillId="0" borderId="0" xfId="0" applyFont="1" applyAlignment="1"/>
    <xf numFmtId="0" fontId="4" fillId="0" borderId="1" xfId="0" applyFont="1" applyBorder="1"/>
    <xf numFmtId="0" fontId="10" fillId="0" borderId="18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" fillId="0" borderId="8" xfId="0" applyFont="1" applyBorder="1"/>
    <xf numFmtId="0" fontId="3" fillId="0" borderId="0" xfId="0" applyFont="1" applyBorder="1" applyAlignment="1">
      <alignment wrapText="1"/>
    </xf>
  </cellXfs>
  <cellStyles count="2">
    <cellStyle name="Звичайний" xfId="0" builtinId="0"/>
    <cellStyle name="Звичайни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37"/>
  <sheetViews>
    <sheetView tabSelected="1" workbookViewId="0">
      <pane ySplit="6" topLeftCell="A7" activePane="bottomLeft" state="frozen"/>
      <selection pane="bottomLeft" sqref="A1:K37"/>
    </sheetView>
  </sheetViews>
  <sheetFormatPr defaultColWidth="14.42578125" defaultRowHeight="15" customHeight="1" x14ac:dyDescent="0.25"/>
  <cols>
    <col min="1" max="1" width="5.7109375" customWidth="1"/>
    <col min="2" max="2" width="15.7109375" customWidth="1"/>
    <col min="3" max="3" width="4.7109375" customWidth="1"/>
    <col min="4" max="4" width="16.42578125" customWidth="1"/>
    <col min="5" max="5" width="13.42578125" customWidth="1"/>
    <col min="6" max="6" width="10.7109375" customWidth="1"/>
    <col min="7" max="7" width="9.140625" customWidth="1"/>
    <col min="8" max="8" width="9.85546875" customWidth="1"/>
    <col min="9" max="9" width="12.5703125" customWidth="1"/>
    <col min="10" max="11" width="13.85546875" customWidth="1"/>
  </cols>
  <sheetData>
    <row r="1" spans="1:11" ht="15.75" customHeight="1" thickBot="1" x14ac:dyDescent="0.3">
      <c r="A1" s="35" t="s">
        <v>32</v>
      </c>
      <c r="B1" s="35"/>
      <c r="C1" s="35"/>
      <c r="D1" s="36"/>
      <c r="E1" s="36"/>
      <c r="F1" s="36"/>
      <c r="G1" s="35"/>
      <c r="H1" s="35"/>
      <c r="I1" s="36"/>
      <c r="J1" s="36"/>
      <c r="K1" s="36"/>
    </row>
    <row r="2" spans="1:11" ht="15.75" thickBot="1" x14ac:dyDescent="0.3">
      <c r="A2" s="47" t="s">
        <v>0</v>
      </c>
      <c r="B2" s="50" t="s">
        <v>1</v>
      </c>
      <c r="C2" s="51"/>
      <c r="D2" s="28" t="s">
        <v>2</v>
      </c>
      <c r="E2" s="31" t="s">
        <v>31</v>
      </c>
      <c r="F2" s="32" t="s">
        <v>3</v>
      </c>
      <c r="G2" s="1" t="s">
        <v>4</v>
      </c>
      <c r="H2" s="33"/>
      <c r="I2" s="30" t="s">
        <v>5</v>
      </c>
      <c r="J2" s="34" t="s">
        <v>42</v>
      </c>
      <c r="K2" s="29" t="s">
        <v>6</v>
      </c>
    </row>
    <row r="3" spans="1:11" ht="15" customHeight="1" x14ac:dyDescent="0.25">
      <c r="A3" s="48"/>
      <c r="B3" s="52"/>
      <c r="C3" s="45"/>
      <c r="D3" s="44" t="s">
        <v>7</v>
      </c>
      <c r="E3" s="44" t="s">
        <v>7</v>
      </c>
      <c r="F3" s="54" t="s">
        <v>7</v>
      </c>
      <c r="G3" s="44" t="s">
        <v>7</v>
      </c>
      <c r="H3" s="44" t="s">
        <v>8</v>
      </c>
      <c r="I3" s="41" t="s">
        <v>7</v>
      </c>
      <c r="J3" s="44" t="s">
        <v>7</v>
      </c>
      <c r="K3" s="44" t="s">
        <v>7</v>
      </c>
    </row>
    <row r="4" spans="1:11" x14ac:dyDescent="0.25">
      <c r="A4" s="48"/>
      <c r="B4" s="52"/>
      <c r="C4" s="45"/>
      <c r="D4" s="45"/>
      <c r="E4" s="45"/>
      <c r="F4" s="55"/>
      <c r="G4" s="45"/>
      <c r="H4" s="45"/>
      <c r="I4" s="42"/>
      <c r="J4" s="45"/>
      <c r="K4" s="45"/>
    </row>
    <row r="5" spans="1:11" ht="7.5" customHeight="1" x14ac:dyDescent="0.25">
      <c r="A5" s="48"/>
      <c r="B5" s="52"/>
      <c r="C5" s="45"/>
      <c r="D5" s="45"/>
      <c r="E5" s="45"/>
      <c r="F5" s="55"/>
      <c r="G5" s="45"/>
      <c r="H5" s="45"/>
      <c r="I5" s="42"/>
      <c r="J5" s="45"/>
      <c r="K5" s="45"/>
    </row>
    <row r="6" spans="1:11" ht="9.75" customHeight="1" thickBot="1" x14ac:dyDescent="0.3">
      <c r="A6" s="49"/>
      <c r="B6" s="53"/>
      <c r="C6" s="46"/>
      <c r="D6" s="46"/>
      <c r="E6" s="46"/>
      <c r="F6" s="56"/>
      <c r="G6" s="46"/>
      <c r="H6" s="46"/>
      <c r="I6" s="43"/>
      <c r="J6" s="46"/>
      <c r="K6" s="46"/>
    </row>
    <row r="7" spans="1:11" ht="15.75" thickBot="1" x14ac:dyDescent="0.3">
      <c r="A7" s="2">
        <v>1</v>
      </c>
      <c r="B7" s="57" t="s">
        <v>36</v>
      </c>
      <c r="C7" s="46"/>
      <c r="D7" s="3">
        <v>0</v>
      </c>
      <c r="E7" s="5">
        <v>0</v>
      </c>
      <c r="F7" s="5">
        <v>0</v>
      </c>
      <c r="G7" s="5">
        <v>0</v>
      </c>
      <c r="H7" s="4">
        <v>0</v>
      </c>
      <c r="I7" s="4">
        <v>0</v>
      </c>
      <c r="J7" s="4">
        <v>0</v>
      </c>
      <c r="K7" s="4">
        <v>0</v>
      </c>
    </row>
    <row r="8" spans="1:11" ht="15.75" thickBot="1" x14ac:dyDescent="0.3">
      <c r="A8" s="2">
        <v>2</v>
      </c>
      <c r="B8" s="58" t="s">
        <v>9</v>
      </c>
      <c r="C8" s="46"/>
      <c r="D8" s="3">
        <v>7765</v>
      </c>
      <c r="E8" s="5">
        <v>22141</v>
      </c>
      <c r="F8" s="5">
        <v>6167</v>
      </c>
      <c r="G8" s="5">
        <v>1299</v>
      </c>
      <c r="H8" s="4">
        <v>46</v>
      </c>
      <c r="I8" s="4">
        <v>488</v>
      </c>
      <c r="J8" s="4">
        <v>537</v>
      </c>
      <c r="K8" s="4">
        <v>6</v>
      </c>
    </row>
    <row r="9" spans="1:11" ht="15.75" thickBot="1" x14ac:dyDescent="0.3">
      <c r="A9" s="2">
        <v>3</v>
      </c>
      <c r="B9" s="58" t="s">
        <v>10</v>
      </c>
      <c r="C9" s="46"/>
      <c r="D9" s="3">
        <v>7466</v>
      </c>
      <c r="E9" s="5">
        <v>12658</v>
      </c>
      <c r="F9" s="5">
        <v>3850</v>
      </c>
      <c r="G9" s="4">
        <v>530</v>
      </c>
      <c r="H9" s="4">
        <v>10</v>
      </c>
      <c r="I9" s="4">
        <v>269</v>
      </c>
      <c r="J9" s="4">
        <v>259</v>
      </c>
      <c r="K9" s="4">
        <v>3</v>
      </c>
    </row>
    <row r="10" spans="1:11" ht="15.75" thickBot="1" x14ac:dyDescent="0.3">
      <c r="A10" s="2">
        <v>4</v>
      </c>
      <c r="B10" s="58" t="s">
        <v>11</v>
      </c>
      <c r="C10" s="46"/>
      <c r="D10" s="3">
        <v>12754</v>
      </c>
      <c r="E10" s="5">
        <v>52559</v>
      </c>
      <c r="F10" s="5">
        <v>19151</v>
      </c>
      <c r="G10" s="5">
        <v>2576</v>
      </c>
      <c r="H10" s="4">
        <v>92</v>
      </c>
      <c r="I10" s="5">
        <v>881</v>
      </c>
      <c r="J10" s="4">
        <v>1250</v>
      </c>
      <c r="K10" s="4">
        <v>36</v>
      </c>
    </row>
    <row r="11" spans="1:11" ht="15.75" thickBot="1" x14ac:dyDescent="0.3">
      <c r="A11" s="2">
        <v>5</v>
      </c>
      <c r="B11" s="57" t="s">
        <v>38</v>
      </c>
      <c r="C11" s="46"/>
      <c r="D11" s="3">
        <v>602</v>
      </c>
      <c r="E11" s="5">
        <v>6750</v>
      </c>
      <c r="F11" s="5">
        <v>1002</v>
      </c>
      <c r="G11" s="5">
        <v>175</v>
      </c>
      <c r="H11" s="4">
        <v>12</v>
      </c>
      <c r="I11" s="4">
        <v>23</v>
      </c>
      <c r="J11" s="5">
        <v>159</v>
      </c>
      <c r="K11" s="4">
        <v>2</v>
      </c>
    </row>
    <row r="12" spans="1:11" ht="15.75" thickBot="1" x14ac:dyDescent="0.3">
      <c r="A12" s="2">
        <v>6</v>
      </c>
      <c r="B12" s="58" t="s">
        <v>12</v>
      </c>
      <c r="C12" s="46"/>
      <c r="D12" s="3">
        <v>6156</v>
      </c>
      <c r="E12" s="5">
        <v>18443</v>
      </c>
      <c r="F12" s="5">
        <v>4979</v>
      </c>
      <c r="G12" s="4">
        <v>1017</v>
      </c>
      <c r="H12" s="4">
        <v>31</v>
      </c>
      <c r="I12" s="4">
        <v>310</v>
      </c>
      <c r="J12" s="4">
        <v>310</v>
      </c>
      <c r="K12" s="4">
        <v>4</v>
      </c>
    </row>
    <row r="13" spans="1:11" ht="15.75" thickBot="1" x14ac:dyDescent="0.3">
      <c r="A13" s="2">
        <v>7</v>
      </c>
      <c r="B13" s="58" t="s">
        <v>13</v>
      </c>
      <c r="C13" s="46"/>
      <c r="D13" s="3">
        <v>8136</v>
      </c>
      <c r="E13" s="5">
        <v>14295</v>
      </c>
      <c r="F13" s="5">
        <v>3098</v>
      </c>
      <c r="G13" s="4">
        <v>360</v>
      </c>
      <c r="H13" s="4">
        <v>15</v>
      </c>
      <c r="I13" s="4">
        <v>242</v>
      </c>
      <c r="J13" s="4">
        <v>197</v>
      </c>
      <c r="K13" s="4">
        <v>23</v>
      </c>
    </row>
    <row r="14" spans="1:11" ht="15.75" thickBot="1" x14ac:dyDescent="0.3">
      <c r="A14" s="2">
        <v>8</v>
      </c>
      <c r="B14" s="57" t="s">
        <v>39</v>
      </c>
      <c r="C14" s="46"/>
      <c r="D14" s="3">
        <v>2823</v>
      </c>
      <c r="E14" s="5">
        <v>14399</v>
      </c>
      <c r="F14" s="5">
        <v>3850</v>
      </c>
      <c r="G14" s="5">
        <v>886</v>
      </c>
      <c r="H14" s="4">
        <v>28</v>
      </c>
      <c r="I14" s="4">
        <v>234</v>
      </c>
      <c r="J14" s="4">
        <v>501</v>
      </c>
      <c r="K14" s="4">
        <v>10</v>
      </c>
    </row>
    <row r="15" spans="1:11" ht="15.75" thickBot="1" x14ac:dyDescent="0.3">
      <c r="A15" s="2">
        <v>9</v>
      </c>
      <c r="B15" s="58" t="s">
        <v>14</v>
      </c>
      <c r="C15" s="46"/>
      <c r="D15" s="3">
        <v>7501</v>
      </c>
      <c r="E15" s="5">
        <v>16649</v>
      </c>
      <c r="F15" s="5">
        <v>4273</v>
      </c>
      <c r="G15" s="5">
        <v>882</v>
      </c>
      <c r="H15" s="4">
        <v>27</v>
      </c>
      <c r="I15" s="4">
        <v>390</v>
      </c>
      <c r="J15" s="4">
        <v>310</v>
      </c>
      <c r="K15" s="4">
        <v>8</v>
      </c>
    </row>
    <row r="16" spans="1:11" ht="15.75" thickBot="1" x14ac:dyDescent="0.3">
      <c r="A16" s="2">
        <v>10</v>
      </c>
      <c r="B16" s="58" t="s">
        <v>15</v>
      </c>
      <c r="C16" s="46"/>
      <c r="D16" s="3">
        <v>10294</v>
      </c>
      <c r="E16" s="5">
        <v>28728</v>
      </c>
      <c r="F16" s="5">
        <v>9175</v>
      </c>
      <c r="G16" s="5">
        <v>1860</v>
      </c>
      <c r="H16" s="4">
        <v>66</v>
      </c>
      <c r="I16" s="4">
        <v>774</v>
      </c>
      <c r="J16" s="4">
        <v>784</v>
      </c>
      <c r="K16" s="4">
        <v>8</v>
      </c>
    </row>
    <row r="17" spans="1:11" ht="15.75" thickBot="1" x14ac:dyDescent="0.3">
      <c r="A17" s="2">
        <v>11</v>
      </c>
      <c r="B17" s="58" t="s">
        <v>16</v>
      </c>
      <c r="C17" s="46"/>
      <c r="D17" s="3">
        <v>3985</v>
      </c>
      <c r="E17" s="5">
        <v>14559</v>
      </c>
      <c r="F17" s="5">
        <v>3708</v>
      </c>
      <c r="G17" s="5">
        <v>654</v>
      </c>
      <c r="H17" s="4">
        <v>35</v>
      </c>
      <c r="I17" s="4">
        <v>315</v>
      </c>
      <c r="J17" s="4">
        <v>298</v>
      </c>
      <c r="K17" s="4">
        <v>3</v>
      </c>
    </row>
    <row r="18" spans="1:11" ht="15.75" thickBot="1" x14ac:dyDescent="0.3">
      <c r="A18" s="2">
        <v>12</v>
      </c>
      <c r="B18" s="57" t="s">
        <v>40</v>
      </c>
      <c r="C18" s="46"/>
      <c r="D18" s="3">
        <v>0</v>
      </c>
      <c r="E18" s="5">
        <v>0</v>
      </c>
      <c r="F18" s="5">
        <v>0</v>
      </c>
      <c r="G18" s="7">
        <v>0</v>
      </c>
      <c r="H18" s="6">
        <v>0</v>
      </c>
      <c r="I18" s="6">
        <v>0</v>
      </c>
      <c r="J18" s="6">
        <v>1</v>
      </c>
      <c r="K18" s="6">
        <v>3</v>
      </c>
    </row>
    <row r="19" spans="1:11" ht="15.75" thickBot="1" x14ac:dyDescent="0.3">
      <c r="A19" s="2">
        <v>13</v>
      </c>
      <c r="B19" s="50" t="s">
        <v>17</v>
      </c>
      <c r="C19" s="45"/>
      <c r="D19" s="8">
        <v>15872</v>
      </c>
      <c r="E19" s="9">
        <v>31532</v>
      </c>
      <c r="F19" s="9">
        <v>13325</v>
      </c>
      <c r="G19" s="9">
        <v>1536</v>
      </c>
      <c r="H19" s="9">
        <v>64</v>
      </c>
      <c r="I19" s="9">
        <v>757</v>
      </c>
      <c r="J19" s="9">
        <v>634</v>
      </c>
      <c r="K19" s="9">
        <v>9</v>
      </c>
    </row>
    <row r="20" spans="1:11" ht="15.75" thickBot="1" x14ac:dyDescent="0.3">
      <c r="A20" s="10">
        <v>14</v>
      </c>
      <c r="B20" s="59" t="s">
        <v>18</v>
      </c>
      <c r="C20" s="60"/>
      <c r="D20" s="11">
        <v>4365</v>
      </c>
      <c r="E20" s="13">
        <v>16016</v>
      </c>
      <c r="F20" s="13">
        <v>4145</v>
      </c>
      <c r="G20" s="13">
        <v>794</v>
      </c>
      <c r="H20" s="12">
        <v>29</v>
      </c>
      <c r="I20" s="12">
        <v>313</v>
      </c>
      <c r="J20" s="12">
        <v>510</v>
      </c>
      <c r="K20" s="12">
        <v>7</v>
      </c>
    </row>
    <row r="21" spans="1:11" ht="15.75" thickBot="1" x14ac:dyDescent="0.3">
      <c r="A21" s="2">
        <v>15</v>
      </c>
      <c r="B21" s="58" t="s">
        <v>19</v>
      </c>
      <c r="C21" s="46"/>
      <c r="D21" s="14">
        <v>11956</v>
      </c>
      <c r="E21" s="16">
        <v>31267</v>
      </c>
      <c r="F21" s="16">
        <v>8892</v>
      </c>
      <c r="G21" s="16">
        <v>1818</v>
      </c>
      <c r="H21" s="15">
        <v>49</v>
      </c>
      <c r="I21" s="15">
        <v>809</v>
      </c>
      <c r="J21" s="17">
        <v>732</v>
      </c>
      <c r="K21" s="18">
        <v>15</v>
      </c>
    </row>
    <row r="22" spans="1:11" ht="15.75" thickBot="1" x14ac:dyDescent="0.3">
      <c r="A22" s="2">
        <v>16</v>
      </c>
      <c r="B22" s="58" t="s">
        <v>20</v>
      </c>
      <c r="C22" s="46"/>
      <c r="D22" s="8">
        <v>5560</v>
      </c>
      <c r="E22" s="9">
        <v>22054</v>
      </c>
      <c r="F22" s="9">
        <v>5722</v>
      </c>
      <c r="G22" s="9">
        <v>1217</v>
      </c>
      <c r="H22" s="19">
        <v>41</v>
      </c>
      <c r="I22" s="19">
        <v>389</v>
      </c>
      <c r="J22" s="19">
        <v>444</v>
      </c>
      <c r="K22" s="19">
        <v>5</v>
      </c>
    </row>
    <row r="23" spans="1:11" ht="15.75" thickBot="1" x14ac:dyDescent="0.3">
      <c r="A23" s="2">
        <v>17</v>
      </c>
      <c r="B23" s="58" t="s">
        <v>21</v>
      </c>
      <c r="C23" s="46"/>
      <c r="D23" s="14">
        <v>9078</v>
      </c>
      <c r="E23" s="16">
        <v>13975</v>
      </c>
      <c r="F23" s="16">
        <v>4499</v>
      </c>
      <c r="G23" s="15">
        <v>539</v>
      </c>
      <c r="H23" s="15">
        <v>29</v>
      </c>
      <c r="I23" s="15">
        <v>267</v>
      </c>
      <c r="J23" s="15">
        <v>332</v>
      </c>
      <c r="K23" s="15">
        <v>4</v>
      </c>
    </row>
    <row r="24" spans="1:11" ht="15.75" thickBot="1" x14ac:dyDescent="0.3">
      <c r="A24" s="2">
        <v>18</v>
      </c>
      <c r="B24" s="58" t="s">
        <v>22</v>
      </c>
      <c r="C24" s="46"/>
      <c r="D24" s="3">
        <v>3199</v>
      </c>
      <c r="E24" s="5">
        <v>16308</v>
      </c>
      <c r="F24" s="5">
        <v>3617</v>
      </c>
      <c r="G24" s="5">
        <v>585</v>
      </c>
      <c r="H24" s="4">
        <v>36</v>
      </c>
      <c r="I24" s="4">
        <v>169</v>
      </c>
      <c r="J24" s="4">
        <v>208</v>
      </c>
      <c r="K24" s="4">
        <v>7</v>
      </c>
    </row>
    <row r="25" spans="1:11" ht="15.75" thickBot="1" x14ac:dyDescent="0.3">
      <c r="A25" s="2">
        <v>19</v>
      </c>
      <c r="B25" s="58" t="s">
        <v>23</v>
      </c>
      <c r="C25" s="46"/>
      <c r="D25" s="3">
        <v>4899</v>
      </c>
      <c r="E25" s="5">
        <v>13233</v>
      </c>
      <c r="F25" s="5">
        <v>2911</v>
      </c>
      <c r="G25" s="4">
        <v>513</v>
      </c>
      <c r="H25" s="4">
        <v>27</v>
      </c>
      <c r="I25" s="4">
        <v>298</v>
      </c>
      <c r="J25" s="4">
        <v>219</v>
      </c>
      <c r="K25" s="4">
        <v>3</v>
      </c>
    </row>
    <row r="26" spans="1:11" ht="15.75" thickBot="1" x14ac:dyDescent="0.3">
      <c r="A26" s="2">
        <v>20</v>
      </c>
      <c r="B26" s="58" t="s">
        <v>24</v>
      </c>
      <c r="C26" s="46"/>
      <c r="D26" s="3">
        <v>7019</v>
      </c>
      <c r="E26" s="5">
        <v>34670</v>
      </c>
      <c r="F26" s="5">
        <v>8358</v>
      </c>
      <c r="G26" s="5">
        <v>1854</v>
      </c>
      <c r="H26" s="4">
        <v>89</v>
      </c>
      <c r="I26" s="4">
        <v>527</v>
      </c>
      <c r="J26" s="4">
        <v>787</v>
      </c>
      <c r="K26" s="4">
        <v>10</v>
      </c>
    </row>
    <row r="27" spans="1:11" ht="15.75" thickBot="1" x14ac:dyDescent="0.3">
      <c r="A27" s="2">
        <v>21</v>
      </c>
      <c r="B27" s="57" t="s">
        <v>41</v>
      </c>
      <c r="C27" s="46"/>
      <c r="D27" s="3">
        <v>366</v>
      </c>
      <c r="E27" s="5">
        <v>4367</v>
      </c>
      <c r="F27" s="5">
        <v>423</v>
      </c>
      <c r="G27" s="5">
        <v>85</v>
      </c>
      <c r="H27" s="4">
        <v>21</v>
      </c>
      <c r="I27" s="4">
        <v>23</v>
      </c>
      <c r="J27" s="4">
        <v>132</v>
      </c>
      <c r="K27" s="4">
        <v>4</v>
      </c>
    </row>
    <row r="28" spans="1:11" ht="15.75" thickBot="1" x14ac:dyDescent="0.3">
      <c r="A28" s="2">
        <v>22</v>
      </c>
      <c r="B28" s="58" t="s">
        <v>25</v>
      </c>
      <c r="C28" s="46"/>
      <c r="D28" s="3">
        <v>6211</v>
      </c>
      <c r="E28" s="5">
        <v>18394</v>
      </c>
      <c r="F28" s="5">
        <v>5382</v>
      </c>
      <c r="G28" s="7">
        <v>1072</v>
      </c>
      <c r="H28" s="6">
        <v>47</v>
      </c>
      <c r="I28" s="6">
        <v>463</v>
      </c>
      <c r="J28" s="6">
        <v>502</v>
      </c>
      <c r="K28" s="6">
        <v>2</v>
      </c>
    </row>
    <row r="29" spans="1:11" ht="15.75" thickBot="1" x14ac:dyDescent="0.3">
      <c r="A29" s="2">
        <v>23</v>
      </c>
      <c r="B29" s="58" t="s">
        <v>26</v>
      </c>
      <c r="C29" s="46"/>
      <c r="D29" s="3">
        <v>4742</v>
      </c>
      <c r="E29" s="5">
        <v>18972</v>
      </c>
      <c r="F29" s="5">
        <v>5231</v>
      </c>
      <c r="G29" s="5">
        <v>1179</v>
      </c>
      <c r="H29" s="4">
        <v>38</v>
      </c>
      <c r="I29" s="4">
        <v>367</v>
      </c>
      <c r="J29" s="4">
        <v>375</v>
      </c>
      <c r="K29" s="4">
        <v>4</v>
      </c>
    </row>
    <row r="30" spans="1:11" ht="15.75" thickBot="1" x14ac:dyDescent="0.3">
      <c r="A30" s="2">
        <v>24</v>
      </c>
      <c r="B30" s="58" t="s">
        <v>27</v>
      </c>
      <c r="C30" s="46"/>
      <c r="D30" s="3">
        <v>5193</v>
      </c>
      <c r="E30" s="5">
        <v>10881</v>
      </c>
      <c r="F30" s="5">
        <v>2456</v>
      </c>
      <c r="G30" s="4">
        <v>468</v>
      </c>
      <c r="H30" s="4">
        <v>18</v>
      </c>
      <c r="I30" s="4">
        <v>319</v>
      </c>
      <c r="J30" s="4">
        <v>138</v>
      </c>
      <c r="K30" s="4">
        <v>4</v>
      </c>
    </row>
    <row r="31" spans="1:11" ht="15.75" thickBot="1" x14ac:dyDescent="0.3">
      <c r="A31" s="2">
        <v>25</v>
      </c>
      <c r="B31" s="58" t="s">
        <v>28</v>
      </c>
      <c r="C31" s="46"/>
      <c r="D31" s="3">
        <v>3426</v>
      </c>
      <c r="E31" s="5">
        <v>16150</v>
      </c>
      <c r="F31" s="5">
        <v>3475</v>
      </c>
      <c r="G31" s="5">
        <v>602</v>
      </c>
      <c r="H31" s="4">
        <v>25</v>
      </c>
      <c r="I31" s="4">
        <v>206</v>
      </c>
      <c r="J31" s="4">
        <v>224</v>
      </c>
      <c r="K31" s="4">
        <v>5</v>
      </c>
    </row>
    <row r="32" spans="1:11" ht="15.75" thickBot="1" x14ac:dyDescent="0.3">
      <c r="A32" s="2">
        <v>26</v>
      </c>
      <c r="B32" s="58" t="s">
        <v>29</v>
      </c>
      <c r="C32" s="46"/>
      <c r="D32" s="3">
        <v>19410</v>
      </c>
      <c r="E32" s="5">
        <v>36296</v>
      </c>
      <c r="F32" s="5">
        <v>37898</v>
      </c>
      <c r="G32" s="5">
        <v>3781</v>
      </c>
      <c r="H32" s="4">
        <v>70</v>
      </c>
      <c r="I32" s="5">
        <v>1633</v>
      </c>
      <c r="J32" s="4">
        <v>1659</v>
      </c>
      <c r="K32" s="4">
        <v>16</v>
      </c>
    </row>
    <row r="33" spans="1:11" ht="16.5" thickBot="1" x14ac:dyDescent="0.3">
      <c r="A33" s="20">
        <v>27</v>
      </c>
      <c r="B33" s="57" t="s">
        <v>37</v>
      </c>
      <c r="C33" s="46"/>
      <c r="D33" s="21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3">
        <v>0</v>
      </c>
    </row>
    <row r="34" spans="1:11" ht="16.5" thickBot="1" x14ac:dyDescent="0.3">
      <c r="A34" s="24"/>
      <c r="B34" s="61" t="s">
        <v>30</v>
      </c>
      <c r="C34" s="45"/>
      <c r="D34" s="25">
        <f>SUM(D7:D33)</f>
        <v>168778</v>
      </c>
      <c r="E34" s="26">
        <f t="shared" ref="E34:K34" si="0">SUM(E8:E33)</f>
        <v>485296</v>
      </c>
      <c r="F34" s="26">
        <f t="shared" si="0"/>
        <v>165587</v>
      </c>
      <c r="G34" s="26">
        <f t="shared" si="0"/>
        <v>26282</v>
      </c>
      <c r="H34" s="26">
        <f t="shared" si="0"/>
        <v>945</v>
      </c>
      <c r="I34" s="26">
        <f t="shared" si="0"/>
        <v>10466</v>
      </c>
      <c r="J34" s="26">
        <f t="shared" si="0"/>
        <v>11502</v>
      </c>
      <c r="K34" s="27">
        <f t="shared" si="0"/>
        <v>201</v>
      </c>
    </row>
    <row r="35" spans="1:11" ht="17.25" customHeight="1" thickBot="1" x14ac:dyDescent="0.3">
      <c r="A35" s="37" t="s">
        <v>33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1:11" ht="17.25" customHeight="1" x14ac:dyDescent="0.25">
      <c r="A36" s="39" t="s">
        <v>34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1" ht="30" customHeight="1" x14ac:dyDescent="0.25">
      <c r="A37" s="40" t="s">
        <v>35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</row>
  </sheetData>
  <mergeCells count="42">
    <mergeCell ref="B19:C19"/>
    <mergeCell ref="B20:C20"/>
    <mergeCell ref="B28:C28"/>
    <mergeCell ref="B34:C34"/>
    <mergeCell ref="B21:C21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B33:C3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A1:K1"/>
    <mergeCell ref="A35:K35"/>
    <mergeCell ref="A36:K36"/>
    <mergeCell ref="A37:K37"/>
    <mergeCell ref="I3:I6"/>
    <mergeCell ref="K3:K6"/>
    <mergeCell ref="A2:A6"/>
    <mergeCell ref="B2:C6"/>
    <mergeCell ref="D3:D6"/>
    <mergeCell ref="E3:E6"/>
    <mergeCell ref="F3:F6"/>
    <mergeCell ref="H3:H6"/>
    <mergeCell ref="G3:G6"/>
    <mergeCell ref="J3:J6"/>
    <mergeCell ref="B7:C7"/>
    <mergeCell ref="B8:C8"/>
  </mergeCells>
  <printOptions horizontalCentered="1" gridLines="1"/>
  <pageMargins left="0.7" right="0.7" top="0.75" bottom="0.75" header="0" footer="0"/>
  <pageSetup paperSize="9" scale="85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Інформація про драцс</vt:lpstr>
      <vt:lpstr>Аркуш32</vt:lpstr>
      <vt:lpstr>Аркуш33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Бочарова</dc:creator>
  <cp:lastModifiedBy>Марина Бочарова</cp:lastModifiedBy>
  <cp:lastPrinted>2026-01-19T12:09:41Z</cp:lastPrinted>
  <dcterms:created xsi:type="dcterms:W3CDTF">2026-01-19T10:39:16Z</dcterms:created>
  <dcterms:modified xsi:type="dcterms:W3CDTF">2026-01-19T12:10:25Z</dcterms:modified>
</cp:coreProperties>
</file>